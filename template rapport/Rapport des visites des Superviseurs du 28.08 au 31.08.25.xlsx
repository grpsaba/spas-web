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3E259B8C-886D-4384-96F7-98FCD4B5AF0B}" xr6:coauthVersionLast="47" xr6:coauthVersionMax="47" xr10:uidLastSave="{00000000-0000-0000-0000-000000000000}"/>
  <bookViews>
    <workbookView xWindow="-108" yWindow="-108" windowWidth="23256" windowHeight="12456" xr2:uid="{2ED67562-77FF-B249-964E-038865BD7169}"/>
  </bookViews>
  <sheets>
    <sheet name="Sheet1" sheetId="1" r:id="rId1"/>
  </sheets>
  <definedNames>
    <definedName name="_xlnm._FilterDatabase" localSheetId="0" hidden="1">Sheet1!$A$3:$H$14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 s="1"/>
  <c r="E10" i="1"/>
  <c r="G10" i="1" s="1"/>
  <c r="E5" i="1"/>
  <c r="F5" i="1" s="1"/>
  <c r="E8" i="1"/>
  <c r="F8" i="1" s="1"/>
  <c r="E9" i="1"/>
  <c r="F9" i="1" s="1"/>
  <c r="E12" i="1"/>
  <c r="F12" i="1" s="1"/>
  <c r="E7" i="1"/>
  <c r="F7" i="1" s="1"/>
  <c r="E13" i="1"/>
  <c r="E11" i="1"/>
  <c r="F11" i="1" s="1"/>
  <c r="E14" i="1"/>
  <c r="E6" i="1"/>
  <c r="F6" i="1" s="1"/>
  <c r="F14" i="1"/>
  <c r="F13" i="1"/>
  <c r="G11" i="1" l="1"/>
  <c r="G13" i="1"/>
  <c r="G8" i="1"/>
  <c r="G5" i="1"/>
  <c r="G6" i="1"/>
  <c r="G14" i="1"/>
  <c r="G4" i="1"/>
  <c r="G9" i="1"/>
  <c r="G7" i="1"/>
  <c r="G12" i="1"/>
  <c r="F10" i="1"/>
</calcChain>
</file>

<file path=xl/sharedStrings.xml><?xml version="1.0" encoding="utf-8"?>
<sst xmlns="http://schemas.openxmlformats.org/spreadsheetml/2006/main" count="42" uniqueCount="32">
  <si>
    <t>Superviseurs</t>
  </si>
  <si>
    <t>Sites assignés</t>
  </si>
  <si>
    <t>attendu</t>
  </si>
  <si>
    <t>Nombre visite</t>
  </si>
  <si>
    <t>Diff</t>
  </si>
  <si>
    <t>Malade</t>
  </si>
  <si>
    <t>Commentaire</t>
  </si>
  <si>
    <t>Nbre visites non effectués</t>
  </si>
  <si>
    <t>Manager</t>
  </si>
  <si>
    <t>Olivier</t>
  </si>
  <si>
    <t xml:space="preserve">Ichiaka </t>
  </si>
  <si>
    <t xml:space="preserve">SECURITE </t>
  </si>
  <si>
    <t>Rapport des visites des Superviseurs du 25 au 31/08/2025</t>
  </si>
  <si>
    <t>Gilles martin SANON</t>
  </si>
  <si>
    <t>Boicar COULIBALY</t>
  </si>
  <si>
    <t>Appolinaire SANON</t>
  </si>
  <si>
    <t>Mahamane DIABATE</t>
  </si>
  <si>
    <t>Makan KEITA</t>
  </si>
  <si>
    <t>Dramane TRAORE</t>
  </si>
  <si>
    <t>Amara KANTE</t>
  </si>
  <si>
    <t>Ballaké DEMBELE</t>
  </si>
  <si>
    <t>Harouna DIALLO</t>
  </si>
  <si>
    <t>Moussa SANGARE</t>
  </si>
  <si>
    <t>Demba TOURE</t>
  </si>
  <si>
    <t>Objectif atteint</t>
  </si>
  <si>
    <t>Moins d'un jour de l'objectif</t>
  </si>
  <si>
    <t>Moins de 2 jours de l'objectif</t>
  </si>
  <si>
    <t>Moins de 4 jours de l'objectif</t>
  </si>
  <si>
    <t>Moins de 5 jours de l'objectif</t>
  </si>
  <si>
    <t>Moins de 7 jours de l'objectif</t>
  </si>
  <si>
    <t>Moins de 9 jours de l'objectif</t>
  </si>
  <si>
    <t>Moins de 15 jours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</si>
</sst>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entury"/>
      <family val="1"/>
    </font>
    <font>
      <sz val="12"/>
      <color theme="9"/>
      <name val="Century"/>
      <family val="1"/>
    </font>
    <font>
      <sz val="12"/>
      <color rgb="FFFF0000"/>
      <name val="Century"/>
      <family val="1"/>
    </font>
    <font>
      <b/>
      <sz val="12"/>
      <color theme="1"/>
      <name val="Century"/>
      <family val="1"/>
    </font>
    <font>
      <b/>
      <sz val="14"/>
      <color theme="3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2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5" fillId="3" borderId="4" xfId="0" applyFont="1" applyFill="1" applyBorder="1" applyAlignment="1">
      <alignment horizontal="centerContinuous" vertical="center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4" fillId="2" borderId="1" xfId="0" applyFont="1" applyFill="1" applyBorder="1"/>
    <xf numFmtId="0" fontId="5" fillId="3" borderId="5" xfId="0" applyFont="1" applyFill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605A-76BF-6140-B1F7-39866E7F255C}">
  <dimension ref="A1:H14"/>
  <sheetViews>
    <sheetView tabSelected="1" topLeftCell="A3" workbookViewId="0">
      <selection activeCell="C14" sqref="C14"/>
    </sheetView>
  </sheetViews>
  <sheetFormatPr baseColWidth="10" defaultRowHeight="15" x14ac:dyDescent="0.25"/>
  <cols>
    <col min="1" max="1" width="21.5" style="1" bestFit="1" customWidth="1"/>
    <col min="2" max="2" width="19.296875" style="1" customWidth="1"/>
    <col min="3" max="3" width="17.19921875" style="1" bestFit="1" customWidth="1"/>
    <col min="4" max="4" width="15.19921875" style="1" bestFit="1" customWidth="1"/>
    <col min="5" max="5" width="13" style="1" customWidth="1"/>
    <col min="6" max="6" width="7.796875" style="1" customWidth="1"/>
    <col min="7" max="7" width="29.69921875" style="1" bestFit="1" customWidth="1"/>
    <col min="8" max="8" width="28.5" style="1" bestFit="1" customWidth="1"/>
    <col min="9" max="16384" width="11.19921875" style="1"/>
  </cols>
  <sheetData>
    <row r="1" spans="1:8" ht="34.799999999999997" customHeight="1" x14ac:dyDescent="0.3">
      <c r="A1" s="7" t="s">
        <v>12</v>
      </c>
      <c r="B1" s="11"/>
      <c r="C1" s="8"/>
      <c r="D1" s="8"/>
      <c r="E1" s="8"/>
      <c r="F1" s="8"/>
      <c r="G1" s="8"/>
      <c r="H1" s="9"/>
    </row>
    <row r="2" spans="1:8" ht="17.399999999999999" x14ac:dyDescent="0.3">
      <c r="A2" s="7" t="s">
        <v>11</v>
      </c>
      <c r="B2" s="11"/>
      <c r="C2" s="8"/>
      <c r="D2" s="8"/>
      <c r="E2" s="8"/>
      <c r="F2" s="8"/>
      <c r="G2" s="8"/>
      <c r="H2" s="9"/>
    </row>
    <row r="3" spans="1:8" x14ac:dyDescent="0.25">
      <c r="A3" s="10" t="s">
        <v>0</v>
      </c>
      <c r="B3" s="10" t="s">
        <v>8</v>
      </c>
      <c r="C3" s="10" t="s">
        <v>1</v>
      </c>
      <c r="D3" s="10" t="s">
        <v>3</v>
      </c>
      <c r="E3" s="10" t="s">
        <v>2</v>
      </c>
      <c r="F3" s="10" t="s">
        <v>4</v>
      </c>
      <c r="G3" s="10" t="s">
        <v>7</v>
      </c>
      <c r="H3" s="10" t="s">
        <v>6</v>
      </c>
    </row>
    <row r="4" spans="1:8" x14ac:dyDescent="0.25">
      <c r="A4" s="2" t="s">
        <v>15</v>
      </c>
      <c r="B4" s="2" t="s">
        <v>10</v>
      </c>
      <c r="C4" s="2">
        <v>15</v>
      </c>
      <c r="D4" s="2">
        <v>450</v>
      </c>
      <c r="E4" s="3">
        <f>C4*30</f>
        <v>450</v>
      </c>
      <c r="F4" s="4">
        <f>E4-D4</f>
        <v>0</v>
      </c>
      <c r="G4" s="2">
        <f>E4-D4</f>
        <v>0</v>
      </c>
      <c r="H4" s="2" t="s">
        <v>24</v>
      </c>
    </row>
    <row r="5" spans="1:8" x14ac:dyDescent="0.25">
      <c r="A5" s="2" t="s">
        <v>17</v>
      </c>
      <c r="B5" s="2" t="s">
        <v>10</v>
      </c>
      <c r="C5" s="2">
        <v>17</v>
      </c>
      <c r="D5" s="2">
        <v>486</v>
      </c>
      <c r="E5" s="3">
        <f>C5*30</f>
        <v>510</v>
      </c>
      <c r="F5" s="4">
        <f>E5-D5</f>
        <v>24</v>
      </c>
      <c r="G5" s="2">
        <f>E5-D5</f>
        <v>24</v>
      </c>
      <c r="H5" s="2" t="s">
        <v>25</v>
      </c>
    </row>
    <row r="6" spans="1:8" x14ac:dyDescent="0.25">
      <c r="A6" s="2" t="s">
        <v>14</v>
      </c>
      <c r="B6" s="2" t="s">
        <v>10</v>
      </c>
      <c r="C6" s="2">
        <v>12</v>
      </c>
      <c r="D6" s="2">
        <v>322</v>
      </c>
      <c r="E6" s="3">
        <f>C6*30</f>
        <v>360</v>
      </c>
      <c r="F6" s="4">
        <f>E6-D6</f>
        <v>38</v>
      </c>
      <c r="G6" s="2">
        <f>E6-D6</f>
        <v>38</v>
      </c>
      <c r="H6" s="2" t="s">
        <v>26</v>
      </c>
    </row>
    <row r="7" spans="1:8" x14ac:dyDescent="0.25">
      <c r="A7" s="2" t="s">
        <v>20</v>
      </c>
      <c r="B7" s="2" t="s">
        <v>9</v>
      </c>
      <c r="C7" s="2">
        <v>15</v>
      </c>
      <c r="D7" s="2">
        <v>384</v>
      </c>
      <c r="E7" s="3">
        <f>C7*30</f>
        <v>450</v>
      </c>
      <c r="F7" s="4">
        <f>E7-D7</f>
        <v>66</v>
      </c>
      <c r="G7" s="2">
        <f>E7-D7</f>
        <v>66</v>
      </c>
      <c r="H7" s="2" t="s">
        <v>27</v>
      </c>
    </row>
    <row r="8" spans="1:8" x14ac:dyDescent="0.25">
      <c r="A8" s="2" t="s">
        <v>18</v>
      </c>
      <c r="B8" s="2" t="s">
        <v>9</v>
      </c>
      <c r="C8" s="2">
        <v>17</v>
      </c>
      <c r="D8" s="2">
        <v>409</v>
      </c>
      <c r="E8" s="3">
        <f>C8*30</f>
        <v>510</v>
      </c>
      <c r="F8" s="4">
        <f>E8-D8</f>
        <v>101</v>
      </c>
      <c r="G8" s="2">
        <f>E8-D8</f>
        <v>101</v>
      </c>
      <c r="H8" s="2" t="s">
        <v>28</v>
      </c>
    </row>
    <row r="9" spans="1:8" x14ac:dyDescent="0.25">
      <c r="A9" s="2" t="s">
        <v>19</v>
      </c>
      <c r="B9" s="2" t="s">
        <v>10</v>
      </c>
      <c r="C9" s="2">
        <v>16</v>
      </c>
      <c r="D9" s="2">
        <v>358</v>
      </c>
      <c r="E9" s="3">
        <f>C9*30</f>
        <v>480</v>
      </c>
      <c r="F9" s="4">
        <f>E9-D9</f>
        <v>122</v>
      </c>
      <c r="G9" s="2">
        <f>E9-D9</f>
        <v>122</v>
      </c>
      <c r="H9" s="2" t="s">
        <v>29</v>
      </c>
    </row>
    <row r="10" spans="1:8" x14ac:dyDescent="0.25">
      <c r="A10" s="2" t="s">
        <v>16</v>
      </c>
      <c r="B10" s="2" t="s">
        <v>10</v>
      </c>
      <c r="C10" s="2">
        <v>17</v>
      </c>
      <c r="D10" s="2">
        <v>385</v>
      </c>
      <c r="E10" s="3">
        <f>C10*30</f>
        <v>510</v>
      </c>
      <c r="F10" s="4">
        <f>E10-D10</f>
        <v>125</v>
      </c>
      <c r="G10" s="2">
        <f>E10-D10</f>
        <v>125</v>
      </c>
      <c r="H10" s="2" t="s">
        <v>29</v>
      </c>
    </row>
    <row r="11" spans="1:8" x14ac:dyDescent="0.25">
      <c r="A11" s="2" t="s">
        <v>22</v>
      </c>
      <c r="B11" s="2" t="s">
        <v>9</v>
      </c>
      <c r="C11" s="2">
        <v>19</v>
      </c>
      <c r="D11" s="2">
        <v>388</v>
      </c>
      <c r="E11" s="3">
        <f>C11*30</f>
        <v>570</v>
      </c>
      <c r="F11" s="4">
        <f>E11-D11</f>
        <v>182</v>
      </c>
      <c r="G11" s="2">
        <f>E11-D11</f>
        <v>182</v>
      </c>
      <c r="H11" s="2" t="s">
        <v>30</v>
      </c>
    </row>
    <row r="12" spans="1:8" x14ac:dyDescent="0.25">
      <c r="A12" s="2" t="s">
        <v>13</v>
      </c>
      <c r="B12" s="2" t="s">
        <v>10</v>
      </c>
      <c r="C12" s="2">
        <v>7</v>
      </c>
      <c r="D12" s="2">
        <v>0</v>
      </c>
      <c r="E12" s="3">
        <f>C12*30</f>
        <v>210</v>
      </c>
      <c r="F12" s="4">
        <f>E12-D12</f>
        <v>210</v>
      </c>
      <c r="G12" s="2">
        <f>E12-D12</f>
        <v>210</v>
      </c>
      <c r="H12" s="2"/>
    </row>
    <row r="13" spans="1:8" x14ac:dyDescent="0.25">
      <c r="A13" s="2" t="s">
        <v>21</v>
      </c>
      <c r="B13" s="2" t="s">
        <v>9</v>
      </c>
      <c r="C13" s="2">
        <v>15</v>
      </c>
      <c r="D13" s="2">
        <v>216</v>
      </c>
      <c r="E13" s="3">
        <f>C13*30</f>
        <v>450</v>
      </c>
      <c r="F13" s="4">
        <f>E13-D13</f>
        <v>234</v>
      </c>
      <c r="G13" s="2">
        <f>E13-D13</f>
        <v>234</v>
      </c>
      <c r="H13" s="2" t="s">
        <v>31</v>
      </c>
    </row>
    <row r="14" spans="1:8" x14ac:dyDescent="0.25">
      <c r="A14" s="5" t="s">
        <v>23</v>
      </c>
      <c r="B14" s="5" t="s">
        <v>9</v>
      </c>
      <c r="C14" s="5">
        <v>21</v>
      </c>
      <c r="D14" s="5">
        <v>0</v>
      </c>
      <c r="E14" s="3">
        <f>C14*30</f>
        <v>630</v>
      </c>
      <c r="F14" s="6">
        <f>E14-D14</f>
        <v>630</v>
      </c>
      <c r="G14" s="2">
        <f>E14-D14</f>
        <v>630</v>
      </c>
      <c r="H14" s="5" t="s">
        <v>5</v>
      </c>
    </row>
  </sheetData>
  <autoFilter ref="A3:H14" xr:uid="{B96C605A-76BF-6140-B1F7-39866E7F255C}">
    <sortState xmlns:xlrd2="http://schemas.microsoft.com/office/spreadsheetml/2017/richdata2" ref="A4:H14">
      <sortCondition ref="G3:G14"/>
    </sortState>
  </autoFilter>
  <conditionalFormatting sqref="G1:G1048576">
    <cfRule type="colorScale" priority="1">
      <colorScale>
        <cfvo type="num" val="0"/>
        <cfvo type="num" val="1"/>
        <cfvo type="num" val="10"/>
        <color rgb="FF00B050"/>
        <color rgb="FFFFC00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2025-09-01T12:52:43Z</dcterms:created>
  <dcterms:modified xsi:type="dcterms:W3CDTF">2025-09-29T12:59:18Z</dcterms:modified>
</cp:coreProperties>
</file>